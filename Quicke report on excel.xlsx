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8961d04f92128a6/Pictures/Desktop/"/>
    </mc:Choice>
  </mc:AlternateContent>
  <xr:revisionPtr revIDLastSave="0" documentId="8_{3E77BE73-AB05-466B-9187-375392FEFCA5}" xr6:coauthVersionLast="47" xr6:coauthVersionMax="47" xr10:uidLastSave="{00000000-0000-0000-0000-000000000000}"/>
  <bookViews>
    <workbookView xWindow="-108" yWindow="-108" windowWidth="19416" windowHeight="10296" xr2:uid="{00000000-000D-0000-FFFF-FFFF00000000}"/>
  </bookViews>
  <sheets>
    <sheet name="Employee_Data" sheetId="1" r:id="rId1"/>
    <sheet name="VLOOKUP" sheetId="2" r:id="rId2"/>
    <sheet name="VISUAL PRESET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9" i="1"/>
  <c r="I8" i="1"/>
  <c r="I7" i="1"/>
  <c r="I6" i="1"/>
  <c r="I5" i="1"/>
  <c r="I25" i="1"/>
  <c r="I24" i="1"/>
  <c r="I23" i="1"/>
  <c r="I19" i="1"/>
  <c r="I18" i="1"/>
  <c r="I17" i="1"/>
  <c r="I16" i="1"/>
  <c r="I3" i="1"/>
  <c r="I4" i="1"/>
  <c r="I2" i="1"/>
  <c r="G15" i="2"/>
  <c r="G16" i="2"/>
  <c r="G17" i="2"/>
  <c r="G18" i="2"/>
  <c r="G19" i="2"/>
  <c r="G20" i="2"/>
  <c r="G21" i="2"/>
  <c r="G22" i="2"/>
  <c r="G23" i="2"/>
  <c r="G24" i="2"/>
  <c r="G25" i="2"/>
  <c r="G26" i="2"/>
  <c r="G14" i="2"/>
  <c r="G12" i="2"/>
  <c r="G13" i="2"/>
  <c r="G3" i="2"/>
  <c r="G4" i="2"/>
  <c r="G5" i="2"/>
  <c r="G6" i="2"/>
  <c r="G7" i="2"/>
  <c r="G8" i="2"/>
  <c r="G9" i="2"/>
  <c r="G10" i="2"/>
  <c r="G11" i="2"/>
  <c r="G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" i="2"/>
  <c r="B17" i="2" l="1"/>
  <c r="F17" i="2" s="1"/>
  <c r="B18" i="2"/>
  <c r="F18" i="2" s="1"/>
  <c r="B19" i="2"/>
  <c r="F19" i="2" s="1"/>
  <c r="B20" i="2"/>
  <c r="F20" i="2" s="1"/>
  <c r="B21" i="2"/>
  <c r="F21" i="2" s="1"/>
  <c r="B22" i="2"/>
  <c r="F22" i="2" s="1"/>
  <c r="B23" i="2"/>
  <c r="F23" i="2" s="1"/>
  <c r="B24" i="2"/>
  <c r="F24" i="2" s="1"/>
  <c r="B25" i="2"/>
  <c r="F25" i="2" s="1"/>
  <c r="B26" i="2"/>
  <c r="F26" i="2" s="1"/>
  <c r="B3" i="2"/>
  <c r="F3" i="2" s="1"/>
  <c r="B4" i="2"/>
  <c r="F4" i="2" s="1"/>
  <c r="B5" i="2"/>
  <c r="F5" i="2" s="1"/>
  <c r="B6" i="2"/>
  <c r="F6" i="2" s="1"/>
  <c r="B7" i="2"/>
  <c r="F7" i="2" s="1"/>
  <c r="B8" i="2"/>
  <c r="F8" i="2" s="1"/>
  <c r="B9" i="2"/>
  <c r="F9" i="2" s="1"/>
  <c r="B10" i="2"/>
  <c r="F10" i="2" s="1"/>
  <c r="B11" i="2"/>
  <c r="F11" i="2" s="1"/>
  <c r="B12" i="2"/>
  <c r="F12" i="2" s="1"/>
  <c r="B13" i="2"/>
  <c r="F13" i="2" s="1"/>
  <c r="B14" i="2"/>
  <c r="F14" i="2" s="1"/>
  <c r="B15" i="2"/>
  <c r="F15" i="2" s="1"/>
  <c r="B16" i="2"/>
  <c r="F16" i="2" s="1"/>
  <c r="B2" i="2"/>
  <c r="F2" i="2" s="1"/>
</calcChain>
</file>

<file path=xl/sharedStrings.xml><?xml version="1.0" encoding="utf-8"?>
<sst xmlns="http://schemas.openxmlformats.org/spreadsheetml/2006/main" count="254" uniqueCount="111">
  <si>
    <t>EmpID</t>
  </si>
  <si>
    <t>Name</t>
  </si>
  <si>
    <t>Department</t>
  </si>
  <si>
    <t>Country</t>
  </si>
  <si>
    <t>Experience (Years)</t>
  </si>
  <si>
    <t>Salary (₹)</t>
  </si>
  <si>
    <t>Performance</t>
  </si>
  <si>
    <t>E101</t>
  </si>
  <si>
    <t>Rahul Sharma</t>
  </si>
  <si>
    <t>IT</t>
  </si>
  <si>
    <t>India</t>
  </si>
  <si>
    <t>Good</t>
  </si>
  <si>
    <t>E102</t>
  </si>
  <si>
    <t>Aman Verma</t>
  </si>
  <si>
    <t>HR</t>
  </si>
  <si>
    <t>Excellent</t>
  </si>
  <si>
    <t>E103</t>
  </si>
  <si>
    <t>Neha Singh</t>
  </si>
  <si>
    <t>E104</t>
  </si>
  <si>
    <t>John Miller</t>
  </si>
  <si>
    <t>Finance</t>
  </si>
  <si>
    <t>USA</t>
  </si>
  <si>
    <t>E105</t>
  </si>
  <si>
    <t>Priya Gupta</t>
  </si>
  <si>
    <t>Average</t>
  </si>
  <si>
    <t>E106</t>
  </si>
  <si>
    <t>Arjun Mehta</t>
  </si>
  <si>
    <t>E107</t>
  </si>
  <si>
    <t>Robert Brown</t>
  </si>
  <si>
    <t>UK</t>
  </si>
  <si>
    <t>E108</t>
  </si>
  <si>
    <t>Sneha Patel</t>
  </si>
  <si>
    <t>Marketing</t>
  </si>
  <si>
    <t>E109</t>
  </si>
  <si>
    <t>David Wilson</t>
  </si>
  <si>
    <t>E110</t>
  </si>
  <si>
    <t>Ankit Jain</t>
  </si>
  <si>
    <t>E111</t>
  </si>
  <si>
    <t>Kavya Nair</t>
  </si>
  <si>
    <t>E112</t>
  </si>
  <si>
    <t>Michael Scott</t>
  </si>
  <si>
    <t>E113</t>
  </si>
  <si>
    <t>Rohan Das</t>
  </si>
  <si>
    <t>E114</t>
  </si>
  <si>
    <t>Simran Kaur</t>
  </si>
  <si>
    <t>E115</t>
  </si>
  <si>
    <t>Chris Evans</t>
  </si>
  <si>
    <t>E116</t>
  </si>
  <si>
    <t>Pooja Mishra</t>
  </si>
  <si>
    <t>E117</t>
  </si>
  <si>
    <t>Daniel Lee</t>
  </si>
  <si>
    <t>E118</t>
  </si>
  <si>
    <t>Suresh Kumar</t>
  </si>
  <si>
    <t>E119</t>
  </si>
  <si>
    <t>Aditi Rao</t>
  </si>
  <si>
    <t>E120</t>
  </si>
  <si>
    <t>James Bond</t>
  </si>
  <si>
    <t>E121</t>
  </si>
  <si>
    <t>Nikhil Shah</t>
  </si>
  <si>
    <t>E122</t>
  </si>
  <si>
    <t>Emma Watson</t>
  </si>
  <si>
    <t>E123</t>
  </si>
  <si>
    <t>Varun Khanna</t>
  </si>
  <si>
    <t>E124</t>
  </si>
  <si>
    <t>Sophia Lopez</t>
  </si>
  <si>
    <t>E125</t>
  </si>
  <si>
    <t>Mohit Bansal</t>
  </si>
  <si>
    <t xml:space="preserve">SALARY </t>
  </si>
  <si>
    <t>SALARY</t>
  </si>
  <si>
    <t>INDEX.MATCH</t>
  </si>
  <si>
    <t>EXPERIENCE</t>
  </si>
  <si>
    <t xml:space="preserve">DEPARTMENT  </t>
  </si>
  <si>
    <t>MONTH</t>
  </si>
  <si>
    <t>INTERNET USER</t>
  </si>
  <si>
    <t>MOBILE USER</t>
  </si>
  <si>
    <t>WINDOWS USER</t>
  </si>
  <si>
    <t>JAN</t>
  </si>
  <si>
    <t>FAB</t>
  </si>
  <si>
    <t>MAR</t>
  </si>
  <si>
    <t>APR</t>
  </si>
  <si>
    <t>MAY</t>
  </si>
  <si>
    <t>JUNE</t>
  </si>
  <si>
    <t>JULY</t>
  </si>
  <si>
    <t>AUG</t>
  </si>
  <si>
    <t>SEP</t>
  </si>
  <si>
    <t>NOV</t>
  </si>
  <si>
    <t>DEC</t>
  </si>
  <si>
    <t>ANDROID USER</t>
  </si>
  <si>
    <t>I PHONE USER</t>
  </si>
  <si>
    <t>BLACKBERRY USER</t>
  </si>
  <si>
    <t>CRITERIA</t>
  </si>
  <si>
    <t>SUM</t>
  </si>
  <si>
    <t>SUM ON THE BASIS OF SALARY</t>
  </si>
  <si>
    <t>COUNTIF</t>
  </si>
  <si>
    <t>AVGOF SALARY</t>
  </si>
  <si>
    <t>MIN OFSALARY</t>
  </si>
  <si>
    <t>MAX OF SALARY</t>
  </si>
  <si>
    <t>AVG OF EXPERIENCE</t>
  </si>
  <si>
    <t>MIN OF EXPERIENCE</t>
  </si>
  <si>
    <t>MAX OF EXPERIENCE</t>
  </si>
  <si>
    <t xml:space="preserve"> SUM IF SECTOR IS (IT)</t>
  </si>
  <si>
    <t xml:space="preserve">COUNT OF TOTAL SALARIES </t>
  </si>
  <si>
    <t>SUM IF THE DEPARTMENT IS (IT)</t>
  </si>
  <si>
    <t>SUM IF THE DEPARTMENT IF (HR)</t>
  </si>
  <si>
    <t>SUM IF THE DEPARTMENT IS(FINANCE)</t>
  </si>
  <si>
    <t>SUM IF THE DEPARTMENT IS (MARKETING)</t>
  </si>
  <si>
    <t>SUM OF DIFFERENT DEPARTMENT BY SALARY</t>
  </si>
  <si>
    <t>SUM  OF DEFFERENT DEPARTMENT BY COUNTRY</t>
  </si>
  <si>
    <t>COUNT OF DEPATMENT IF COUNTRY IS INDIA</t>
  </si>
  <si>
    <t>COUNT OF DEPATMENT IF COUNTRY IS USA</t>
  </si>
  <si>
    <t>COUNT OF DEPATMENT IF COUNTRY IS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</si>
</sst>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833430172373492"/>
          <c:y val="9.0648062854143688E-2"/>
          <c:w val="0.74722071954746117"/>
          <c:h val="0.738593761715528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Employee_Data!$I$15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Employee_Data!$H$16:$H$19</c15:sqref>
                  </c15:fullRef>
                </c:ext>
              </c:extLst>
              <c:f>Employee_Data!$H$17:$H$19</c:f>
              <c:strCache>
                <c:ptCount val="3"/>
                <c:pt idx="0">
                  <c:v>SUM IF THE DEPARTMENT IF (HR)</c:v>
                </c:pt>
                <c:pt idx="1">
                  <c:v>SUM IF THE DEPARTMENT IS(FINANCE)</c:v>
                </c:pt>
                <c:pt idx="2">
                  <c:v>SUM IF THE DEPARTMENT IS (MARKETING)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Employee_Data!$I$16:$I$19</c15:sqref>
                  </c15:fullRef>
                </c:ext>
              </c:extLst>
              <c:f>Employee_Data!$I$17:$I$19</c:f>
              <c:numCache>
                <c:formatCode>General</c:formatCode>
                <c:ptCount val="3"/>
                <c:pt idx="0">
                  <c:v>278000</c:v>
                </c:pt>
                <c:pt idx="1">
                  <c:v>368000</c:v>
                </c:pt>
                <c:pt idx="2">
                  <c:v>247000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F-4B85-B7D3-68077E0D70C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28013736"/>
        <c:axId val="428005504"/>
      </c:barChart>
      <c:catAx>
        <c:axId val="428013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DAPARTMENTS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05504"/>
        <c:crosses val="autoZero"/>
        <c:auto val="1"/>
        <c:lblAlgn val="ctr"/>
        <c:lblOffset val="100"/>
        <c:noMultiLvlLbl val="0"/>
      </c:catAx>
      <c:valAx>
        <c:axId val="42800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SAARY 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13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Departmens</a:t>
            </a:r>
            <a:r>
              <a:rPr lang="en-IN" baseline="0"/>
              <a:t> By Countries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752155158018203E-2"/>
          <c:y val="0.17171309373852336"/>
          <c:w val="0.93888888888888888"/>
          <c:h val="0.44402559055118113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594-4ACB-BA14-2D6E4A50B4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594-4ACB-BA14-2D6E4A50B4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594-4ACB-BA14-2D6E4A50B4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594-4ACB-BA14-2D6E4A50B4F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Employee_Data!$H$22:$H$25</c:f>
              <c:strCache>
                <c:ptCount val="4"/>
                <c:pt idx="0">
                  <c:v>SUM  OF DEFFERENT DEPARTMENT BY COUNTRY</c:v>
                </c:pt>
                <c:pt idx="1">
                  <c:v>COUNT OF DEPATMENT IF COUNTRY IS INDIA</c:v>
                </c:pt>
                <c:pt idx="2">
                  <c:v>COUNT OF DEPATMENT IF COUNTRY IS USA</c:v>
                </c:pt>
                <c:pt idx="3">
                  <c:v>COUNT OF DEPATMENT IF COUNTRY IS UK</c:v>
                </c:pt>
              </c:strCache>
            </c:strRef>
          </c:cat>
          <c:val>
            <c:numRef>
              <c:f>Employee_Data!$I$22:$I$25</c:f>
              <c:numCache>
                <c:formatCode>General</c:formatCode>
                <c:ptCount val="4"/>
                <c:pt idx="1">
                  <c:v>16</c:v>
                </c:pt>
                <c:pt idx="2">
                  <c:v>6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94-4ACB-BA14-2D6E4A50B4F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Users</a:t>
            </a:r>
            <a:r>
              <a:rPr lang="en-IN" baseline="0"/>
              <a:t>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 PRESETATION'!$B$1</c:f>
              <c:strCache>
                <c:ptCount val="1"/>
                <c:pt idx="0">
                  <c:v>INTERNET USER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'VISUAL PRESETATION'!$A$2:$A$12</c:f>
              <c:strCache>
                <c:ptCount val="11"/>
                <c:pt idx="0">
                  <c:v>JAN</c:v>
                </c:pt>
                <c:pt idx="1">
                  <c:v>FAB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'VISUAL PRESETATION'!$B$2:$B$12</c:f>
              <c:numCache>
                <c:formatCode>General</c:formatCode>
                <c:ptCount val="11"/>
                <c:pt idx="0">
                  <c:v>10455</c:v>
                </c:pt>
                <c:pt idx="1">
                  <c:v>12343</c:v>
                </c:pt>
                <c:pt idx="2">
                  <c:v>11000</c:v>
                </c:pt>
                <c:pt idx="3">
                  <c:v>16565</c:v>
                </c:pt>
                <c:pt idx="4">
                  <c:v>16754</c:v>
                </c:pt>
                <c:pt idx="5">
                  <c:v>12354</c:v>
                </c:pt>
                <c:pt idx="6">
                  <c:v>23415</c:v>
                </c:pt>
                <c:pt idx="7">
                  <c:v>17823</c:v>
                </c:pt>
                <c:pt idx="8">
                  <c:v>23764</c:v>
                </c:pt>
                <c:pt idx="9">
                  <c:v>57881</c:v>
                </c:pt>
                <c:pt idx="10">
                  <c:v>43571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0-43CB-9081-C53ED4D2F953}"/>
            </c:ext>
          </c:extLst>
        </c:ser>
        <c:ser>
          <c:idx val="1"/>
          <c:order val="1"/>
          <c:tx>
            <c:strRef>
              <c:f>'VISUAL PRESETATION'!$C$1</c:f>
              <c:strCache>
                <c:ptCount val="1"/>
                <c:pt idx="0">
                  <c:v>WINDOWS USER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'VISUAL PRESETATION'!$A$2:$A$12</c:f>
              <c:strCache>
                <c:ptCount val="11"/>
                <c:pt idx="0">
                  <c:v>JAN</c:v>
                </c:pt>
                <c:pt idx="1">
                  <c:v>FAB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'VISUAL PRESETATION'!$C$2:$C$12</c:f>
              <c:numCache>
                <c:formatCode>General</c:formatCode>
                <c:ptCount val="11"/>
                <c:pt idx="0">
                  <c:v>2354</c:v>
                </c:pt>
                <c:pt idx="1">
                  <c:v>1234</c:v>
                </c:pt>
                <c:pt idx="2">
                  <c:v>3245</c:v>
                </c:pt>
                <c:pt idx="3">
                  <c:v>1243</c:v>
                </c:pt>
                <c:pt idx="4">
                  <c:v>1657</c:v>
                </c:pt>
                <c:pt idx="5">
                  <c:v>2345</c:v>
                </c:pt>
                <c:pt idx="6">
                  <c:v>1254</c:v>
                </c:pt>
                <c:pt idx="7">
                  <c:v>2543</c:v>
                </c:pt>
                <c:pt idx="8">
                  <c:v>2452</c:v>
                </c:pt>
                <c:pt idx="9">
                  <c:v>2545</c:v>
                </c:pt>
                <c:pt idx="10">
                  <c:v>1542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90-43CB-9081-C53ED4D2F953}"/>
            </c:ext>
          </c:extLst>
        </c:ser>
        <c:ser>
          <c:idx val="2"/>
          <c:order val="2"/>
          <c:tx>
            <c:strRef>
              <c:f>'VISUAL PRESETATION'!$D$1</c:f>
              <c:strCache>
                <c:ptCount val="1"/>
                <c:pt idx="0">
                  <c:v>MOBILE USER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'VISUAL PRESETATION'!$A$2:$A$12</c:f>
              <c:strCache>
                <c:ptCount val="11"/>
                <c:pt idx="0">
                  <c:v>JAN</c:v>
                </c:pt>
                <c:pt idx="1">
                  <c:v>FAB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'VISUAL PRESETATION'!$D$2:$D$12</c:f>
              <c:numCache>
                <c:formatCode>General</c:formatCode>
                <c:ptCount val="11"/>
                <c:pt idx="0">
                  <c:v>8654</c:v>
                </c:pt>
                <c:pt idx="1">
                  <c:v>7366</c:v>
                </c:pt>
                <c:pt idx="2">
                  <c:v>7625</c:v>
                </c:pt>
                <c:pt idx="3">
                  <c:v>7365</c:v>
                </c:pt>
                <c:pt idx="4">
                  <c:v>1532</c:v>
                </c:pt>
                <c:pt idx="5">
                  <c:v>2341</c:v>
                </c:pt>
                <c:pt idx="6">
                  <c:v>7536</c:v>
                </c:pt>
                <c:pt idx="7">
                  <c:v>10657</c:v>
                </c:pt>
                <c:pt idx="8">
                  <c:v>2645</c:v>
                </c:pt>
                <c:pt idx="9">
                  <c:v>2767</c:v>
                </c:pt>
                <c:pt idx="10">
                  <c:v>1256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90-43CB-9081-C53ED4D2F95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421331712"/>
        <c:axId val="421332104"/>
      </c:barChart>
      <c:catAx>
        <c:axId val="42133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DIVIDED BY USERS ACCORDING TO 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332104"/>
        <c:crosses val="autoZero"/>
        <c:auto val="1"/>
        <c:lblAlgn val="ctr"/>
        <c:lblOffset val="100"/>
        <c:noMultiLvlLbl val="0"/>
      </c:catAx>
      <c:valAx>
        <c:axId val="421332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INTERNAT USERS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33171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MOBILE USERS BY CATEGORIES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1111111111111109E-2"/>
          <c:y val="0.19486111111111112"/>
          <c:w val="0.93888888888888888"/>
          <c:h val="0.671457786526684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650-4CB3-8B50-D6336B1B2D8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650-4CB3-8B50-D6336B1B2D8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F650-4CB3-8B50-D6336B1B2D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'VISUAL PRESETATION'!$A$18:$C$18</c:f>
              <c:strCache>
                <c:ptCount val="3"/>
                <c:pt idx="0">
                  <c:v>ANDROID USER</c:v>
                </c:pt>
                <c:pt idx="1">
                  <c:v>I PHONE USER</c:v>
                </c:pt>
                <c:pt idx="2">
                  <c:v>BLACKBERRY USER</c:v>
                </c:pt>
              </c:strCache>
            </c:strRef>
          </c:cat>
          <c:val>
            <c:numRef>
              <c:f>'VISUAL PRESETATION'!$A$19:$C$19</c:f>
              <c:numCache>
                <c:formatCode>General</c:formatCode>
                <c:ptCount val="3"/>
                <c:pt idx="0">
                  <c:v>977645</c:v>
                </c:pt>
                <c:pt idx="1">
                  <c:v>8614547</c:v>
                </c:pt>
                <c:pt idx="2">
                  <c:v>7232455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50-4CB3-8B50-D6336B1B2D8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solidFill>
            <a:schemeClr val="accent1">
              <a:alpha val="42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18490</xdr:colOff>
      <xdr:row>0</xdr:row>
      <xdr:rowOff>8965</xdr:rowOff>
    </xdr:from>
    <xdr:to>
      <xdr:col>17</xdr:col>
      <xdr:colOff>322730</xdr:colOff>
      <xdr:row>18</xdr:row>
      <xdr:rowOff>62753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17929</xdr:colOff>
      <xdr:row>18</xdr:row>
      <xdr:rowOff>53788</xdr:rowOff>
    </xdr:from>
    <xdr:to>
      <xdr:col>17</xdr:col>
      <xdr:colOff>358588</xdr:colOff>
      <xdr:row>32</xdr:row>
      <xdr:rowOff>116540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0</xdr:row>
      <xdr:rowOff>0</xdr:rowOff>
    </xdr:from>
    <xdr:to>
      <xdr:col>13</xdr:col>
      <xdr:colOff>600075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352425</xdr:colOff>
      <xdr:row>16</xdr:row>
      <xdr:rowOff>14287</xdr:rowOff>
    </xdr:from>
    <xdr:to>
      <xdr:col>12</xdr:col>
      <xdr:colOff>47625</xdr:colOff>
      <xdr:row>30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="85" zoomScaleNormal="85" workbookViewId="0">
      <selection activeCell="I28" sqref="I28"/>
    </sheetView>
  </sheetViews>
  <sheetFormatPr defaultRowHeight="14.4" x14ac:dyDescent="0.3"/>
  <cols>
    <col min="2" max="2" width="16.109375" customWidth="1"/>
    <col min="3" max="3" width="16.33203125" customWidth="1"/>
    <col min="4" max="4" width="14.33203125" customWidth="1"/>
    <col min="5" max="5" width="11.6640625" customWidth="1"/>
    <col min="6" max="6" width="13.5546875" customWidth="1"/>
    <col min="7" max="7" width="13.88671875" customWidth="1"/>
    <col min="8" max="8" width="47.5546875" customWidth="1"/>
    <col min="9" max="9" width="18.33203125" customWidth="1"/>
  </cols>
  <sheetData>
    <row r="1" spans="1:9" s="2" customFormat="1" ht="2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90</v>
      </c>
      <c r="I1" s="2" t="s">
        <v>91</v>
      </c>
    </row>
    <row r="2" spans="1:9" x14ac:dyDescent="0.3">
      <c r="A2" t="s">
        <v>7</v>
      </c>
      <c r="B2" t="s">
        <v>8</v>
      </c>
      <c r="C2" t="s">
        <v>9</v>
      </c>
      <c r="D2" t="s">
        <v>10</v>
      </c>
      <c r="E2">
        <v>2</v>
      </c>
      <c r="F2">
        <v>35000</v>
      </c>
      <c r="G2" t="s">
        <v>11</v>
      </c>
      <c r="H2" t="s">
        <v>92</v>
      </c>
      <c r="I2">
        <f>SUM(F:F)</f>
        <v>1367000</v>
      </c>
    </row>
    <row r="3" spans="1:9" x14ac:dyDescent="0.3">
      <c r="A3" t="s">
        <v>12</v>
      </c>
      <c r="B3" t="s">
        <v>13</v>
      </c>
      <c r="C3" t="s">
        <v>14</v>
      </c>
      <c r="D3" t="s">
        <v>10</v>
      </c>
      <c r="E3">
        <v>5</v>
      </c>
      <c r="F3">
        <v>42000</v>
      </c>
      <c r="G3" t="s">
        <v>15</v>
      </c>
      <c r="H3" t="s">
        <v>100</v>
      </c>
      <c r="I3">
        <f>SUMIF(C:C,"IT",F:F)</f>
        <v>474000</v>
      </c>
    </row>
    <row r="4" spans="1:9" x14ac:dyDescent="0.3">
      <c r="A4" t="s">
        <v>16</v>
      </c>
      <c r="B4" t="s">
        <v>17</v>
      </c>
      <c r="C4" t="s">
        <v>9</v>
      </c>
      <c r="D4" t="s">
        <v>10</v>
      </c>
      <c r="E4">
        <v>3</v>
      </c>
      <c r="F4">
        <v>38000</v>
      </c>
      <c r="G4" t="s">
        <v>11</v>
      </c>
      <c r="H4" t="s">
        <v>101</v>
      </c>
      <c r="I4">
        <f>COUNT(F2:F26)</f>
        <v>25</v>
      </c>
    </row>
    <row r="5" spans="1:9" x14ac:dyDescent="0.3">
      <c r="A5" t="s">
        <v>18</v>
      </c>
      <c r="B5" t="s">
        <v>19</v>
      </c>
      <c r="C5" t="s">
        <v>20</v>
      </c>
      <c r="D5" t="s">
        <v>21</v>
      </c>
      <c r="E5">
        <v>7</v>
      </c>
      <c r="F5">
        <v>75000</v>
      </c>
      <c r="G5" t="s">
        <v>15</v>
      </c>
      <c r="H5" t="s">
        <v>93</v>
      </c>
      <c r="I5">
        <f>COUNTIF(F:F,F6)</f>
        <v>1</v>
      </c>
    </row>
    <row r="6" spans="1:9" x14ac:dyDescent="0.3">
      <c r="A6" t="s">
        <v>22</v>
      </c>
      <c r="B6" t="s">
        <v>23</v>
      </c>
      <c r="C6" t="s">
        <v>14</v>
      </c>
      <c r="D6" t="s">
        <v>10</v>
      </c>
      <c r="E6">
        <v>1</v>
      </c>
      <c r="F6">
        <v>30000</v>
      </c>
      <c r="G6" t="s">
        <v>24</v>
      </c>
      <c r="H6" t="s">
        <v>94</v>
      </c>
      <c r="I6">
        <f>AVERAGE(F:F)</f>
        <v>54680</v>
      </c>
    </row>
    <row r="7" spans="1:9" x14ac:dyDescent="0.3">
      <c r="A7" t="s">
        <v>25</v>
      </c>
      <c r="B7" t="s">
        <v>26</v>
      </c>
      <c r="C7" t="s">
        <v>9</v>
      </c>
      <c r="D7" t="s">
        <v>10</v>
      </c>
      <c r="E7">
        <v>6</v>
      </c>
      <c r="F7">
        <v>60000</v>
      </c>
      <c r="G7" t="s">
        <v>15</v>
      </c>
      <c r="H7" t="s">
        <v>95</v>
      </c>
      <c r="I7">
        <f>MIN(F:F)</f>
        <v>28000</v>
      </c>
    </row>
    <row r="8" spans="1:9" x14ac:dyDescent="0.3">
      <c r="A8" t="s">
        <v>27</v>
      </c>
      <c r="B8" t="s">
        <v>28</v>
      </c>
      <c r="C8" t="s">
        <v>20</v>
      </c>
      <c r="D8" t="s">
        <v>29</v>
      </c>
      <c r="E8">
        <v>4</v>
      </c>
      <c r="F8">
        <v>68000</v>
      </c>
      <c r="G8" t="s">
        <v>11</v>
      </c>
      <c r="H8" t="s">
        <v>96</v>
      </c>
      <c r="I8">
        <f>MAX(F:F)</f>
        <v>90000</v>
      </c>
    </row>
    <row r="9" spans="1:9" x14ac:dyDescent="0.3">
      <c r="A9" t="s">
        <v>30</v>
      </c>
      <c r="B9" t="s">
        <v>31</v>
      </c>
      <c r="C9" t="s">
        <v>32</v>
      </c>
      <c r="D9" t="s">
        <v>10</v>
      </c>
      <c r="E9">
        <v>2</v>
      </c>
      <c r="F9">
        <v>32000</v>
      </c>
      <c r="G9" t="s">
        <v>24</v>
      </c>
      <c r="H9" t="s">
        <v>97</v>
      </c>
      <c r="I9">
        <f>AVERAGE(E:E)</f>
        <v>4.76</v>
      </c>
    </row>
    <row r="10" spans="1:9" x14ac:dyDescent="0.3">
      <c r="A10" t="s">
        <v>33</v>
      </c>
      <c r="B10" t="s">
        <v>34</v>
      </c>
      <c r="C10" t="s">
        <v>9</v>
      </c>
      <c r="D10" t="s">
        <v>21</v>
      </c>
      <c r="E10">
        <v>8</v>
      </c>
      <c r="F10">
        <v>82000</v>
      </c>
      <c r="G10" t="s">
        <v>15</v>
      </c>
      <c r="H10" t="s">
        <v>98</v>
      </c>
      <c r="I10">
        <f>MIN(E:E)</f>
        <v>1</v>
      </c>
    </row>
    <row r="11" spans="1:9" x14ac:dyDescent="0.3">
      <c r="A11" t="s">
        <v>35</v>
      </c>
      <c r="B11" t="s">
        <v>36</v>
      </c>
      <c r="C11" t="s">
        <v>20</v>
      </c>
      <c r="D11" t="s">
        <v>10</v>
      </c>
      <c r="E11">
        <v>5</v>
      </c>
      <c r="F11">
        <v>50000</v>
      </c>
      <c r="G11" t="s">
        <v>11</v>
      </c>
      <c r="H11" t="s">
        <v>99</v>
      </c>
      <c r="I11">
        <f>MAX(E:E)</f>
        <v>10</v>
      </c>
    </row>
    <row r="12" spans="1:9" x14ac:dyDescent="0.3">
      <c r="A12" t="s">
        <v>37</v>
      </c>
      <c r="B12" t="s">
        <v>38</v>
      </c>
      <c r="C12" t="s">
        <v>32</v>
      </c>
      <c r="D12" t="s">
        <v>10</v>
      </c>
      <c r="E12">
        <v>3</v>
      </c>
      <c r="F12">
        <v>36000</v>
      </c>
      <c r="G12" t="s">
        <v>11</v>
      </c>
    </row>
    <row r="13" spans="1:9" x14ac:dyDescent="0.3">
      <c r="A13" t="s">
        <v>39</v>
      </c>
      <c r="B13" t="s">
        <v>40</v>
      </c>
      <c r="C13" t="s">
        <v>14</v>
      </c>
      <c r="D13" t="s">
        <v>21</v>
      </c>
      <c r="E13">
        <v>10</v>
      </c>
      <c r="F13">
        <v>90000</v>
      </c>
      <c r="G13" t="s">
        <v>15</v>
      </c>
    </row>
    <row r="14" spans="1:9" x14ac:dyDescent="0.3">
      <c r="A14" t="s">
        <v>41</v>
      </c>
      <c r="B14" t="s">
        <v>42</v>
      </c>
      <c r="C14" t="s">
        <v>9</v>
      </c>
      <c r="D14" t="s">
        <v>10</v>
      </c>
      <c r="E14">
        <v>1</v>
      </c>
      <c r="F14">
        <v>28000</v>
      </c>
      <c r="G14" t="s">
        <v>24</v>
      </c>
    </row>
    <row r="15" spans="1:9" ht="15.6" x14ac:dyDescent="0.3">
      <c r="A15" t="s">
        <v>43</v>
      </c>
      <c r="B15" t="s">
        <v>44</v>
      </c>
      <c r="C15" t="s">
        <v>20</v>
      </c>
      <c r="D15" t="s">
        <v>10</v>
      </c>
      <c r="E15">
        <v>6</v>
      </c>
      <c r="F15">
        <v>62000</v>
      </c>
      <c r="G15" t="s">
        <v>15</v>
      </c>
      <c r="H15" s="1" t="s">
        <v>106</v>
      </c>
    </row>
    <row r="16" spans="1:9" x14ac:dyDescent="0.3">
      <c r="A16" t="s">
        <v>45</v>
      </c>
      <c r="B16" t="s">
        <v>46</v>
      </c>
      <c r="C16" t="s">
        <v>32</v>
      </c>
      <c r="D16" t="s">
        <v>29</v>
      </c>
      <c r="E16">
        <v>4</v>
      </c>
      <c r="F16">
        <v>70000</v>
      </c>
      <c r="G16" t="s">
        <v>11</v>
      </c>
      <c r="H16" t="s">
        <v>102</v>
      </c>
      <c r="I16">
        <f>SUMIF(C:C,C2,F:F)</f>
        <v>474000</v>
      </c>
    </row>
    <row r="17" spans="1:9" x14ac:dyDescent="0.3">
      <c r="A17" t="s">
        <v>47</v>
      </c>
      <c r="B17" t="s">
        <v>48</v>
      </c>
      <c r="C17" t="s">
        <v>14</v>
      </c>
      <c r="D17" t="s">
        <v>10</v>
      </c>
      <c r="E17">
        <v>2</v>
      </c>
      <c r="F17">
        <v>31000</v>
      </c>
      <c r="G17" t="s">
        <v>24</v>
      </c>
      <c r="H17" t="s">
        <v>103</v>
      </c>
      <c r="I17">
        <f>SUMIF(C:C,C3,F:F)</f>
        <v>278000</v>
      </c>
    </row>
    <row r="18" spans="1:9" x14ac:dyDescent="0.3">
      <c r="A18" t="s">
        <v>49</v>
      </c>
      <c r="B18" t="s">
        <v>50</v>
      </c>
      <c r="C18" t="s">
        <v>9</v>
      </c>
      <c r="D18" t="s">
        <v>21</v>
      </c>
      <c r="E18">
        <v>5</v>
      </c>
      <c r="F18">
        <v>65000</v>
      </c>
      <c r="G18" t="s">
        <v>11</v>
      </c>
      <c r="H18" t="s">
        <v>104</v>
      </c>
      <c r="I18">
        <f>SUMIF(C:C,C5,F:F)</f>
        <v>368000</v>
      </c>
    </row>
    <row r="19" spans="1:9" x14ac:dyDescent="0.3">
      <c r="A19" t="s">
        <v>51</v>
      </c>
      <c r="B19" t="s">
        <v>52</v>
      </c>
      <c r="C19" t="s">
        <v>20</v>
      </c>
      <c r="D19" t="s">
        <v>10</v>
      </c>
      <c r="E19">
        <v>9</v>
      </c>
      <c r="F19">
        <v>80000</v>
      </c>
      <c r="G19" t="s">
        <v>15</v>
      </c>
      <c r="H19" t="s">
        <v>105</v>
      </c>
      <c r="I19">
        <f>SUMIF(C:C,C9,F:F)</f>
        <v>247000</v>
      </c>
    </row>
    <row r="20" spans="1:9" x14ac:dyDescent="0.3">
      <c r="A20" t="s">
        <v>53</v>
      </c>
      <c r="B20" t="s">
        <v>54</v>
      </c>
      <c r="C20" t="s">
        <v>32</v>
      </c>
      <c r="D20" t="s">
        <v>10</v>
      </c>
      <c r="E20">
        <v>3</v>
      </c>
      <c r="F20">
        <v>37000</v>
      </c>
      <c r="G20" t="s">
        <v>11</v>
      </c>
    </row>
    <row r="21" spans="1:9" x14ac:dyDescent="0.3">
      <c r="A21" t="s">
        <v>55</v>
      </c>
      <c r="B21" t="s">
        <v>56</v>
      </c>
      <c r="C21" t="s">
        <v>9</v>
      </c>
      <c r="D21" t="s">
        <v>29</v>
      </c>
      <c r="E21">
        <v>7</v>
      </c>
      <c r="F21">
        <v>78000</v>
      </c>
      <c r="G21" t="s">
        <v>15</v>
      </c>
    </row>
    <row r="22" spans="1:9" ht="15.6" x14ac:dyDescent="0.3">
      <c r="A22" t="s">
        <v>57</v>
      </c>
      <c r="B22" t="s">
        <v>58</v>
      </c>
      <c r="C22" t="s">
        <v>14</v>
      </c>
      <c r="D22" t="s">
        <v>10</v>
      </c>
      <c r="E22">
        <v>4</v>
      </c>
      <c r="F22">
        <v>40000</v>
      </c>
      <c r="G22" t="s">
        <v>11</v>
      </c>
      <c r="H22" s="1" t="s">
        <v>107</v>
      </c>
    </row>
    <row r="23" spans="1:9" x14ac:dyDescent="0.3">
      <c r="A23" t="s">
        <v>59</v>
      </c>
      <c r="B23" t="s">
        <v>60</v>
      </c>
      <c r="C23" t="s">
        <v>32</v>
      </c>
      <c r="D23" t="s">
        <v>21</v>
      </c>
      <c r="E23">
        <v>6</v>
      </c>
      <c r="F23">
        <v>72000</v>
      </c>
      <c r="G23" t="s">
        <v>15</v>
      </c>
      <c r="H23" t="s">
        <v>108</v>
      </c>
      <c r="I23">
        <f>COUNTIF(D:D,D11)</f>
        <v>16</v>
      </c>
    </row>
    <row r="24" spans="1:9" x14ac:dyDescent="0.3">
      <c r="A24" t="s">
        <v>61</v>
      </c>
      <c r="B24" t="s">
        <v>62</v>
      </c>
      <c r="C24" t="s">
        <v>20</v>
      </c>
      <c r="D24" t="s">
        <v>10</v>
      </c>
      <c r="E24">
        <v>2</v>
      </c>
      <c r="F24">
        <v>33000</v>
      </c>
      <c r="G24" t="s">
        <v>24</v>
      </c>
      <c r="H24" t="s">
        <v>109</v>
      </c>
      <c r="I24">
        <f>COUNTIF(D:D,D13)</f>
        <v>6</v>
      </c>
    </row>
    <row r="25" spans="1:9" x14ac:dyDescent="0.3">
      <c r="A25" t="s">
        <v>63</v>
      </c>
      <c r="B25" t="s">
        <v>64</v>
      </c>
      <c r="C25" t="s">
        <v>9</v>
      </c>
      <c r="D25" t="s">
        <v>21</v>
      </c>
      <c r="E25">
        <v>9</v>
      </c>
      <c r="F25">
        <v>88000</v>
      </c>
      <c r="G25" t="s">
        <v>15</v>
      </c>
      <c r="H25" t="s">
        <v>110</v>
      </c>
      <c r="I25">
        <f>COUNTIF(D:D,D21)</f>
        <v>3</v>
      </c>
    </row>
    <row r="26" spans="1:9" x14ac:dyDescent="0.3">
      <c r="A26" t="s">
        <v>65</v>
      </c>
      <c r="B26" t="s">
        <v>66</v>
      </c>
      <c r="C26" t="s">
        <v>14</v>
      </c>
      <c r="D26" t="s">
        <v>10</v>
      </c>
      <c r="E26">
        <v>5</v>
      </c>
      <c r="F26">
        <v>45000</v>
      </c>
      <c r="G26" t="s">
        <v>11</v>
      </c>
    </row>
  </sheetData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H2" sqref="H2"/>
    </sheetView>
  </sheetViews>
  <sheetFormatPr defaultRowHeight="14.4" x14ac:dyDescent="0.3"/>
  <cols>
    <col min="3" max="3" width="20.6640625" customWidth="1"/>
    <col min="5" max="5" width="20.6640625" customWidth="1"/>
    <col min="6" max="6" width="15.33203125" customWidth="1"/>
    <col min="7" max="7" width="16.6640625" customWidth="1"/>
    <col min="8" max="8" width="19.109375" customWidth="1"/>
  </cols>
  <sheetData>
    <row r="1" spans="1:8" x14ac:dyDescent="0.3">
      <c r="A1" t="s">
        <v>0</v>
      </c>
      <c r="B1" t="s">
        <v>67</v>
      </c>
      <c r="C1" t="s">
        <v>1</v>
      </c>
      <c r="D1" t="s">
        <v>68</v>
      </c>
      <c r="E1" t="s">
        <v>1</v>
      </c>
      <c r="F1" t="s">
        <v>69</v>
      </c>
      <c r="G1" t="s">
        <v>70</v>
      </c>
      <c r="H1" t="s">
        <v>71</v>
      </c>
    </row>
    <row r="2" spans="1:8" x14ac:dyDescent="0.3">
      <c r="A2" t="s">
        <v>7</v>
      </c>
      <c r="B2">
        <f>VLOOKUP(A2,Employee_Data!A1:G26,6,0)</f>
        <v>35000</v>
      </c>
      <c r="C2" t="s">
        <v>8</v>
      </c>
      <c r="D2">
        <f>VLOOKUP(C2,Employee_Data!B1:G26,5,0)</f>
        <v>35000</v>
      </c>
      <c r="E2" t="s">
        <v>8</v>
      </c>
      <c r="F2">
        <f>INDEX(B:B,MATCH(A2,A:A,0))</f>
        <v>35000</v>
      </c>
      <c r="G2">
        <f>INDEX(Employee_Data!E2:E26,MATCH(Employee_Data!A2,Employee_Data!A:A,0))</f>
        <v>5</v>
      </c>
    </row>
    <row r="3" spans="1:8" x14ac:dyDescent="0.3">
      <c r="A3" t="s">
        <v>12</v>
      </c>
      <c r="B3">
        <f>VLOOKUP(A3,Employee_Data!A2:G27,6,0)</f>
        <v>42000</v>
      </c>
      <c r="C3" t="s">
        <v>13</v>
      </c>
      <c r="D3">
        <f>VLOOKUP(C3,Employee_Data!B2:G27,5,0)</f>
        <v>42000</v>
      </c>
      <c r="E3" t="s">
        <v>13</v>
      </c>
      <c r="F3">
        <f t="shared" ref="F3:F26" si="0">INDEX(B:B,MATCH(A3,A:A,0))</f>
        <v>42000</v>
      </c>
      <c r="G3">
        <f>INDEX(Employee_Data!E3:E27,MATCH(Employee_Data!A3,Employee_Data!A:A,0))</f>
        <v>7</v>
      </c>
    </row>
    <row r="4" spans="1:8" x14ac:dyDescent="0.3">
      <c r="A4" t="s">
        <v>16</v>
      </c>
      <c r="B4">
        <f>VLOOKUP(A4,Employee_Data!A3:G28,6,0)</f>
        <v>38000</v>
      </c>
      <c r="C4" t="s">
        <v>17</v>
      </c>
      <c r="D4">
        <f>VLOOKUP(C4,Employee_Data!B3:G28,5,0)</f>
        <v>38000</v>
      </c>
      <c r="E4" t="s">
        <v>17</v>
      </c>
      <c r="F4">
        <f t="shared" si="0"/>
        <v>38000</v>
      </c>
      <c r="G4">
        <f>INDEX(Employee_Data!E4:E28,MATCH(Employee_Data!A4,Employee_Data!A:A,0))</f>
        <v>6</v>
      </c>
    </row>
    <row r="5" spans="1:8" x14ac:dyDescent="0.3">
      <c r="A5" t="s">
        <v>18</v>
      </c>
      <c r="B5">
        <f>VLOOKUP(A5,Employee_Data!A4:G29,6,0)</f>
        <v>75000</v>
      </c>
      <c r="C5" t="s">
        <v>19</v>
      </c>
      <c r="D5">
        <f>VLOOKUP(C5,Employee_Data!B4:G29,5,0)</f>
        <v>75000</v>
      </c>
      <c r="E5" t="s">
        <v>19</v>
      </c>
      <c r="F5">
        <f t="shared" si="0"/>
        <v>75000</v>
      </c>
      <c r="G5">
        <f>INDEX(Employee_Data!E5:E29,MATCH(Employee_Data!A5,Employee_Data!A:A,0))</f>
        <v>2</v>
      </c>
    </row>
    <row r="6" spans="1:8" x14ac:dyDescent="0.3">
      <c r="A6" t="s">
        <v>22</v>
      </c>
      <c r="B6">
        <f>VLOOKUP(A6,Employee_Data!A5:G30,6,0)</f>
        <v>30000</v>
      </c>
      <c r="C6" t="s">
        <v>23</v>
      </c>
      <c r="D6">
        <f>VLOOKUP(C6,Employee_Data!B5:G30,5,0)</f>
        <v>30000</v>
      </c>
      <c r="E6" t="s">
        <v>23</v>
      </c>
      <c r="F6">
        <f t="shared" si="0"/>
        <v>30000</v>
      </c>
      <c r="G6">
        <f>INDEX(Employee_Data!E6:E30,MATCH(Employee_Data!A6,Employee_Data!A:A,0))</f>
        <v>5</v>
      </c>
    </row>
    <row r="7" spans="1:8" x14ac:dyDescent="0.3">
      <c r="A7" t="s">
        <v>25</v>
      </c>
      <c r="B7">
        <f>VLOOKUP(A7,Employee_Data!A6:G31,6,0)</f>
        <v>60000</v>
      </c>
      <c r="C7" t="s">
        <v>26</v>
      </c>
      <c r="D7">
        <f>VLOOKUP(C7,Employee_Data!B6:G31,5,0)</f>
        <v>60000</v>
      </c>
      <c r="E7" t="s">
        <v>26</v>
      </c>
      <c r="F7">
        <f t="shared" si="0"/>
        <v>60000</v>
      </c>
      <c r="G7">
        <f>INDEX(Employee_Data!E7:E31,MATCH(Employee_Data!A7,Employee_Data!A:A,0))</f>
        <v>10</v>
      </c>
    </row>
    <row r="8" spans="1:8" x14ac:dyDescent="0.3">
      <c r="A8" t="s">
        <v>27</v>
      </c>
      <c r="B8">
        <f>VLOOKUP(A8,Employee_Data!A7:G32,6,0)</f>
        <v>68000</v>
      </c>
      <c r="C8" t="s">
        <v>28</v>
      </c>
      <c r="D8">
        <f>VLOOKUP(C8,Employee_Data!B7:G32,5,0)</f>
        <v>68000</v>
      </c>
      <c r="E8" t="s">
        <v>28</v>
      </c>
      <c r="F8">
        <f t="shared" si="0"/>
        <v>68000</v>
      </c>
      <c r="G8">
        <f>INDEX(Employee_Data!E8:E32,MATCH(Employee_Data!A8,Employee_Data!A:A,0))</f>
        <v>6</v>
      </c>
    </row>
    <row r="9" spans="1:8" x14ac:dyDescent="0.3">
      <c r="A9" t="s">
        <v>30</v>
      </c>
      <c r="B9">
        <f>VLOOKUP(A9,Employee_Data!A8:G33,6,0)</f>
        <v>32000</v>
      </c>
      <c r="C9" t="s">
        <v>31</v>
      </c>
      <c r="D9">
        <f>VLOOKUP(C9,Employee_Data!B8:G33,5,0)</f>
        <v>32000</v>
      </c>
      <c r="E9" t="s">
        <v>31</v>
      </c>
      <c r="F9">
        <f t="shared" si="0"/>
        <v>32000</v>
      </c>
      <c r="G9">
        <f>INDEX(Employee_Data!E9:E33,MATCH(Employee_Data!A9,Employee_Data!A:A,0))</f>
        <v>2</v>
      </c>
    </row>
    <row r="10" spans="1:8" x14ac:dyDescent="0.3">
      <c r="A10" t="s">
        <v>33</v>
      </c>
      <c r="B10">
        <f>VLOOKUP(A10,Employee_Data!A9:G34,6,0)</f>
        <v>82000</v>
      </c>
      <c r="C10" t="s">
        <v>34</v>
      </c>
      <c r="D10">
        <f>VLOOKUP(C10,Employee_Data!B9:G34,5,0)</f>
        <v>82000</v>
      </c>
      <c r="E10" t="s">
        <v>34</v>
      </c>
      <c r="F10">
        <f t="shared" si="0"/>
        <v>82000</v>
      </c>
      <c r="G10">
        <f>INDEX(Employee_Data!E10:E34,MATCH(Employee_Data!A10,Employee_Data!A:A,0))</f>
        <v>9</v>
      </c>
    </row>
    <row r="11" spans="1:8" x14ac:dyDescent="0.3">
      <c r="A11" t="s">
        <v>35</v>
      </c>
      <c r="B11">
        <f>VLOOKUP(A11,Employee_Data!A10:G35,6,0)</f>
        <v>50000</v>
      </c>
      <c r="C11" t="s">
        <v>36</v>
      </c>
      <c r="D11">
        <f>VLOOKUP(C11,Employee_Data!B10:G35,5,0)</f>
        <v>50000</v>
      </c>
      <c r="E11" t="s">
        <v>36</v>
      </c>
      <c r="F11">
        <f t="shared" si="0"/>
        <v>50000</v>
      </c>
      <c r="G11">
        <f>INDEX(Employee_Data!E11:E35,MATCH(Employee_Data!A11,Employee_Data!A:A,0))</f>
        <v>7</v>
      </c>
    </row>
    <row r="12" spans="1:8" x14ac:dyDescent="0.3">
      <c r="A12" t="s">
        <v>37</v>
      </c>
      <c r="B12">
        <f>VLOOKUP(A12,Employee_Data!A11:G36,6,0)</f>
        <v>36000</v>
      </c>
      <c r="C12" t="s">
        <v>38</v>
      </c>
      <c r="D12">
        <f>VLOOKUP(C12,Employee_Data!B11:G36,5,0)</f>
        <v>36000</v>
      </c>
      <c r="E12" t="s">
        <v>38</v>
      </c>
      <c r="F12">
        <f t="shared" si="0"/>
        <v>36000</v>
      </c>
      <c r="G12">
        <f>INDEX(Employee_Data!E12:E36,MATCH(Employee_Data!A12,Employee_Data!A:A,0))</f>
        <v>6</v>
      </c>
    </row>
    <row r="13" spans="1:8" x14ac:dyDescent="0.3">
      <c r="A13" t="s">
        <v>39</v>
      </c>
      <c r="B13">
        <f>VLOOKUP(A13,Employee_Data!A12:G37,6,0)</f>
        <v>90000</v>
      </c>
      <c r="C13" t="s">
        <v>40</v>
      </c>
      <c r="D13">
        <f>VLOOKUP(C13,Employee_Data!B12:G37,5,0)</f>
        <v>90000</v>
      </c>
      <c r="E13" t="s">
        <v>40</v>
      </c>
      <c r="F13">
        <f t="shared" si="0"/>
        <v>90000</v>
      </c>
      <c r="G13">
        <f>INDEX(Employee_Data!E13:E37,MATCH(Employee_Data!A13,Employee_Data!A:A,0))</f>
        <v>9</v>
      </c>
    </row>
    <row r="14" spans="1:8" x14ac:dyDescent="0.3">
      <c r="A14" t="s">
        <v>41</v>
      </c>
      <c r="B14">
        <f>VLOOKUP(A14,Employee_Data!A13:G38,6,0)</f>
        <v>28000</v>
      </c>
      <c r="C14" t="s">
        <v>42</v>
      </c>
      <c r="D14">
        <f>VLOOKUP(C14,Employee_Data!B13:G38,5,0)</f>
        <v>28000</v>
      </c>
      <c r="E14" t="s">
        <v>42</v>
      </c>
      <c r="F14">
        <f t="shared" si="0"/>
        <v>28000</v>
      </c>
      <c r="G14">
        <f>INDEX(Employee_Data!E:E,MATCH(Employee_Data!A2,Employee_Data!A:A,0))</f>
        <v>2</v>
      </c>
    </row>
    <row r="15" spans="1:8" x14ac:dyDescent="0.3">
      <c r="A15" t="s">
        <v>43</v>
      </c>
      <c r="B15">
        <f>VLOOKUP(A15,Employee_Data!A14:G39,6,0)</f>
        <v>62000</v>
      </c>
      <c r="C15" t="s">
        <v>44</v>
      </c>
      <c r="D15">
        <f>VLOOKUP(C15,Employee_Data!B14:G39,5,0)</f>
        <v>62000</v>
      </c>
      <c r="E15" t="s">
        <v>44</v>
      </c>
      <c r="F15">
        <f t="shared" si="0"/>
        <v>62000</v>
      </c>
      <c r="G15">
        <f>INDEX(Employee_Data!E:E,MATCH(Employee_Data!A3,Employee_Data!A:A,0))</f>
        <v>5</v>
      </c>
    </row>
    <row r="16" spans="1:8" x14ac:dyDescent="0.3">
      <c r="A16" t="s">
        <v>45</v>
      </c>
      <c r="B16">
        <f>VLOOKUP(A16,Employee_Data!A15:G40,6,0)</f>
        <v>70000</v>
      </c>
      <c r="C16" t="s">
        <v>46</v>
      </c>
      <c r="D16">
        <f>VLOOKUP(C16,Employee_Data!B15:G40,5,0)</f>
        <v>70000</v>
      </c>
      <c r="E16" t="s">
        <v>46</v>
      </c>
      <c r="F16">
        <f t="shared" si="0"/>
        <v>70000</v>
      </c>
      <c r="G16">
        <f>INDEX(Employee_Data!E:E,MATCH(Employee_Data!A4,Employee_Data!A:A,0))</f>
        <v>3</v>
      </c>
    </row>
    <row r="17" spans="1:7" x14ac:dyDescent="0.3">
      <c r="A17" t="s">
        <v>47</v>
      </c>
      <c r="B17">
        <f>VLOOKUP(A17,Employee_Data!A16:G41,6,0)</f>
        <v>31000</v>
      </c>
      <c r="C17" t="s">
        <v>48</v>
      </c>
      <c r="D17">
        <f>VLOOKUP(C17,Employee_Data!B16:G41,5,0)</f>
        <v>31000</v>
      </c>
      <c r="E17" t="s">
        <v>48</v>
      </c>
      <c r="F17">
        <f t="shared" si="0"/>
        <v>31000</v>
      </c>
      <c r="G17">
        <f>INDEX(Employee_Data!E:E,MATCH(Employee_Data!A5,Employee_Data!A:A,0))</f>
        <v>7</v>
      </c>
    </row>
    <row r="18" spans="1:7" x14ac:dyDescent="0.3">
      <c r="A18" t="s">
        <v>49</v>
      </c>
      <c r="B18">
        <f>VLOOKUP(A18,Employee_Data!A17:G42,6,0)</f>
        <v>65000</v>
      </c>
      <c r="C18" t="s">
        <v>50</v>
      </c>
      <c r="D18">
        <f>VLOOKUP(C18,Employee_Data!B17:G42,5,0)</f>
        <v>65000</v>
      </c>
      <c r="E18" t="s">
        <v>50</v>
      </c>
      <c r="F18">
        <f t="shared" si="0"/>
        <v>65000</v>
      </c>
      <c r="G18">
        <f>INDEX(Employee_Data!E:E,MATCH(Employee_Data!A6,Employee_Data!A:A,0))</f>
        <v>1</v>
      </c>
    </row>
    <row r="19" spans="1:7" x14ac:dyDescent="0.3">
      <c r="A19" t="s">
        <v>51</v>
      </c>
      <c r="B19">
        <f>VLOOKUP(A19,Employee_Data!A18:G43,6,0)</f>
        <v>80000</v>
      </c>
      <c r="C19" t="s">
        <v>52</v>
      </c>
      <c r="D19">
        <f>VLOOKUP(C19,Employee_Data!B18:G43,5,0)</f>
        <v>80000</v>
      </c>
      <c r="E19" t="s">
        <v>52</v>
      </c>
      <c r="F19">
        <f t="shared" si="0"/>
        <v>80000</v>
      </c>
      <c r="G19">
        <f>INDEX(Employee_Data!E:E,MATCH(Employee_Data!A7,Employee_Data!A:A,0))</f>
        <v>6</v>
      </c>
    </row>
    <row r="20" spans="1:7" x14ac:dyDescent="0.3">
      <c r="A20" t="s">
        <v>53</v>
      </c>
      <c r="B20">
        <f>VLOOKUP(A20,Employee_Data!A19:G44,6,0)</f>
        <v>37000</v>
      </c>
      <c r="C20" t="s">
        <v>54</v>
      </c>
      <c r="D20">
        <f>VLOOKUP(C20,Employee_Data!B19:G44,5,0)</f>
        <v>37000</v>
      </c>
      <c r="E20" t="s">
        <v>54</v>
      </c>
      <c r="F20">
        <f t="shared" si="0"/>
        <v>37000</v>
      </c>
      <c r="G20">
        <f>INDEX(Employee_Data!E:E,MATCH(Employee_Data!A8,Employee_Data!A:A,0))</f>
        <v>4</v>
      </c>
    </row>
    <row r="21" spans="1:7" x14ac:dyDescent="0.3">
      <c r="A21" t="s">
        <v>55</v>
      </c>
      <c r="B21">
        <f>VLOOKUP(A21,Employee_Data!A20:G45,6,0)</f>
        <v>78000</v>
      </c>
      <c r="C21" t="s">
        <v>56</v>
      </c>
      <c r="D21">
        <f>VLOOKUP(C21,Employee_Data!B20:G45,5,0)</f>
        <v>78000</v>
      </c>
      <c r="E21" t="s">
        <v>56</v>
      </c>
      <c r="F21">
        <f t="shared" si="0"/>
        <v>78000</v>
      </c>
      <c r="G21">
        <f>INDEX(Employee_Data!E:E,MATCH(Employee_Data!A9,Employee_Data!A:A,0))</f>
        <v>2</v>
      </c>
    </row>
    <row r="22" spans="1:7" x14ac:dyDescent="0.3">
      <c r="A22" t="s">
        <v>57</v>
      </c>
      <c r="B22">
        <f>VLOOKUP(A22,Employee_Data!A21:G46,6,0)</f>
        <v>40000</v>
      </c>
      <c r="C22" t="s">
        <v>58</v>
      </c>
      <c r="D22">
        <f>VLOOKUP(C22,Employee_Data!B21:G46,5,0)</f>
        <v>40000</v>
      </c>
      <c r="E22" t="s">
        <v>58</v>
      </c>
      <c r="F22">
        <f t="shared" si="0"/>
        <v>40000</v>
      </c>
      <c r="G22">
        <f>INDEX(Employee_Data!E:E,MATCH(Employee_Data!A10,Employee_Data!A:A,0))</f>
        <v>8</v>
      </c>
    </row>
    <row r="23" spans="1:7" x14ac:dyDescent="0.3">
      <c r="A23" t="s">
        <v>59</v>
      </c>
      <c r="B23">
        <f>VLOOKUP(A23,Employee_Data!A22:G47,6,0)</f>
        <v>72000</v>
      </c>
      <c r="C23" t="s">
        <v>60</v>
      </c>
      <c r="D23">
        <f>VLOOKUP(C23,Employee_Data!B22:G47,5,0)</f>
        <v>72000</v>
      </c>
      <c r="E23" t="s">
        <v>60</v>
      </c>
      <c r="F23">
        <f t="shared" si="0"/>
        <v>72000</v>
      </c>
      <c r="G23">
        <f>INDEX(Employee_Data!E:E,MATCH(Employee_Data!A11,Employee_Data!A:A,0))</f>
        <v>5</v>
      </c>
    </row>
    <row r="24" spans="1:7" x14ac:dyDescent="0.3">
      <c r="A24" t="s">
        <v>61</v>
      </c>
      <c r="B24">
        <f>VLOOKUP(A24,Employee_Data!A23:G48,6,0)</f>
        <v>33000</v>
      </c>
      <c r="C24" t="s">
        <v>62</v>
      </c>
      <c r="D24">
        <f>VLOOKUP(C24,Employee_Data!B23:G48,5,0)</f>
        <v>33000</v>
      </c>
      <c r="E24" t="s">
        <v>62</v>
      </c>
      <c r="F24">
        <f t="shared" si="0"/>
        <v>33000</v>
      </c>
      <c r="G24">
        <f>INDEX(Employee_Data!E:E,MATCH(Employee_Data!A12,Employee_Data!A:A,0))</f>
        <v>3</v>
      </c>
    </row>
    <row r="25" spans="1:7" x14ac:dyDescent="0.3">
      <c r="A25" t="s">
        <v>63</v>
      </c>
      <c r="B25">
        <f>VLOOKUP(A25,Employee_Data!A24:G49,6,0)</f>
        <v>88000</v>
      </c>
      <c r="C25" t="s">
        <v>64</v>
      </c>
      <c r="D25">
        <f>VLOOKUP(C25,Employee_Data!B24:G49,5,0)</f>
        <v>88000</v>
      </c>
      <c r="E25" t="s">
        <v>64</v>
      </c>
      <c r="F25">
        <f t="shared" si="0"/>
        <v>88000</v>
      </c>
      <c r="G25">
        <f>INDEX(Employee_Data!E:E,MATCH(Employee_Data!A13,Employee_Data!A:A,0))</f>
        <v>10</v>
      </c>
    </row>
    <row r="26" spans="1:7" x14ac:dyDescent="0.3">
      <c r="A26" t="s">
        <v>65</v>
      </c>
      <c r="B26">
        <f>VLOOKUP(A26,Employee_Data!A25:G50,6,0)</f>
        <v>45000</v>
      </c>
      <c r="C26" t="s">
        <v>66</v>
      </c>
      <c r="D26">
        <f>VLOOKUP(C26,Employee_Data!B25:G50,5,0)</f>
        <v>45000</v>
      </c>
      <c r="E26" t="s">
        <v>66</v>
      </c>
      <c r="F26">
        <f t="shared" si="0"/>
        <v>45000</v>
      </c>
      <c r="G26">
        <f>INDEX(Employee_Data!E:E,MATCH(Employee_Data!A14,Employee_Data!A:A,0))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C25" sqref="C25"/>
    </sheetView>
  </sheetViews>
  <sheetFormatPr defaultRowHeight="14.4" x14ac:dyDescent="0.3"/>
  <cols>
    <col min="1" max="1" width="16.109375" customWidth="1"/>
    <col min="2" max="2" width="18.5546875" customWidth="1"/>
    <col min="3" max="3" width="15.88671875" customWidth="1"/>
    <col min="4" max="4" width="17.5546875" customWidth="1"/>
  </cols>
  <sheetData>
    <row r="1" spans="1:4" x14ac:dyDescent="0.3">
      <c r="A1" t="s">
        <v>72</v>
      </c>
      <c r="B1" t="s">
        <v>73</v>
      </c>
      <c r="C1" t="s">
        <v>75</v>
      </c>
      <c r="D1" t="s">
        <v>74</v>
      </c>
    </row>
    <row r="2" spans="1:4" x14ac:dyDescent="0.3">
      <c r="A2" t="s">
        <v>76</v>
      </c>
      <c r="B2">
        <v>10455</v>
      </c>
      <c r="C2">
        <v>2354</v>
      </c>
      <c r="D2">
        <v>8654</v>
      </c>
    </row>
    <row r="3" spans="1:4" x14ac:dyDescent="0.3">
      <c r="A3" t="s">
        <v>77</v>
      </c>
      <c r="B3">
        <v>12343</v>
      </c>
      <c r="C3">
        <v>1234</v>
      </c>
      <c r="D3">
        <v>7366</v>
      </c>
    </row>
    <row r="4" spans="1:4" x14ac:dyDescent="0.3">
      <c r="A4" t="s">
        <v>78</v>
      </c>
      <c r="B4">
        <v>11000</v>
      </c>
      <c r="C4">
        <v>3245</v>
      </c>
      <c r="D4">
        <v>7625</v>
      </c>
    </row>
    <row r="5" spans="1:4" x14ac:dyDescent="0.3">
      <c r="A5" t="s">
        <v>79</v>
      </c>
      <c r="B5">
        <v>16565</v>
      </c>
      <c r="C5">
        <v>1243</v>
      </c>
      <c r="D5">
        <v>7365</v>
      </c>
    </row>
    <row r="6" spans="1:4" x14ac:dyDescent="0.3">
      <c r="A6" t="s">
        <v>80</v>
      </c>
      <c r="B6">
        <v>16754</v>
      </c>
      <c r="C6">
        <v>1657</v>
      </c>
      <c r="D6">
        <v>1532</v>
      </c>
    </row>
    <row r="7" spans="1:4" x14ac:dyDescent="0.3">
      <c r="A7" t="s">
        <v>81</v>
      </c>
      <c r="B7">
        <v>12354</v>
      </c>
      <c r="C7">
        <v>2345</v>
      </c>
      <c r="D7">
        <v>2341</v>
      </c>
    </row>
    <row r="8" spans="1:4" x14ac:dyDescent="0.3">
      <c r="A8" t="s">
        <v>82</v>
      </c>
      <c r="B8">
        <v>23415</v>
      </c>
      <c r="C8">
        <v>1254</v>
      </c>
      <c r="D8">
        <v>7536</v>
      </c>
    </row>
    <row r="9" spans="1:4" x14ac:dyDescent="0.3">
      <c r="A9" t="s">
        <v>83</v>
      </c>
      <c r="B9">
        <v>17823</v>
      </c>
      <c r="C9">
        <v>2543</v>
      </c>
      <c r="D9">
        <v>10657</v>
      </c>
    </row>
    <row r="10" spans="1:4" x14ac:dyDescent="0.3">
      <c r="A10" t="s">
        <v>84</v>
      </c>
      <c r="B10">
        <v>23764</v>
      </c>
      <c r="C10">
        <v>2452</v>
      </c>
      <c r="D10">
        <v>2645</v>
      </c>
    </row>
    <row r="11" spans="1:4" x14ac:dyDescent="0.3">
      <c r="A11" t="s">
        <v>85</v>
      </c>
      <c r="B11">
        <v>57881</v>
      </c>
      <c r="C11">
        <v>2545</v>
      </c>
      <c r="D11">
        <v>2767</v>
      </c>
    </row>
    <row r="12" spans="1:4" x14ac:dyDescent="0.3">
      <c r="A12" t="s">
        <v>86</v>
      </c>
      <c r="B12">
        <v>43571</v>
      </c>
      <c r="C12">
        <v>1542</v>
      </c>
      <c r="D12">
        <v>1256</v>
      </c>
    </row>
    <row r="18" spans="1:3" x14ac:dyDescent="0.3">
      <c r="A18" t="s">
        <v>87</v>
      </c>
      <c r="B18" t="s">
        <v>88</v>
      </c>
      <c r="C18" t="s">
        <v>89</v>
      </c>
    </row>
    <row r="19" spans="1:3" x14ac:dyDescent="0.3">
      <c r="A19">
        <v>977645</v>
      </c>
      <c r="B19">
        <v>8614547</v>
      </c>
      <c r="C19">
        <v>7232455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Employee_Data</vt:lpstr>
      <vt:lpstr>VLOOKUP</vt:lpstr>
      <vt:lpstr>VISUAL PRESETATION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GARIMA RAJPUT</cp:lastModifiedBy>
  <dcterms:created xsi:type="dcterms:W3CDTF">2025-12-31T18:59:24Z</dcterms:created>
  <dcterms:modified xsi:type="dcterms:W3CDTF">2026-05-09T19:15:50Z</dcterms:modified>
</cp:coreProperties>
</file>